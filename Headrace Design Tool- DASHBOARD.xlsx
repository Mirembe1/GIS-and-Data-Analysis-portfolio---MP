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\Downloads\victory\Obadiah - Small HPP\OBADIA 2\"/>
    </mc:Choice>
  </mc:AlternateContent>
  <xr:revisionPtr revIDLastSave="0" documentId="13_ncr:1_{88B26266-7911-431C-B6FD-F37CBD1EBAEB}" xr6:coauthVersionLast="47" xr6:coauthVersionMax="47" xr10:uidLastSave="{00000000-0000-0000-0000-000000000000}"/>
  <bookViews>
    <workbookView xWindow="-96" yWindow="0" windowWidth="13356" windowHeight="12336" xr2:uid="{00000000-000D-0000-FFFF-FFFF00000000}"/>
  </bookViews>
  <sheets>
    <sheet name="Headrace 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B69" i="1"/>
  <c r="B70" i="1" s="1"/>
  <c r="B68" i="1"/>
  <c r="I17" i="1" s="1"/>
  <c r="B18" i="1"/>
  <c r="E17" i="1" s="1"/>
  <c r="B17" i="1"/>
  <c r="E16" i="1" s="1"/>
  <c r="B16" i="1"/>
  <c r="I16" i="1" s="1"/>
  <c r="B43" i="1"/>
  <c r="B44" i="1" s="1"/>
  <c r="B45" i="1" s="1"/>
  <c r="B46" i="1" s="1"/>
  <c r="E18" i="1" s="1"/>
  <c r="B53" i="1"/>
  <c r="B54" i="1"/>
  <c r="B55" i="1" s="1"/>
  <c r="B48" i="1" l="1"/>
  <c r="B47" i="1"/>
  <c r="E19" i="1" s="1"/>
  <c r="B49" i="1"/>
  <c r="E21" i="1" s="1"/>
  <c r="B56" i="1"/>
  <c r="B19" i="1"/>
  <c r="E3" i="1" s="1"/>
  <c r="B50" i="1" l="1"/>
  <c r="E20" i="1"/>
  <c r="B57" i="1"/>
  <c r="B60" i="1" s="1"/>
  <c r="B58" i="1"/>
  <c r="B59" i="1" l="1"/>
  <c r="I18" i="1"/>
  <c r="B62" i="1"/>
  <c r="E4" i="1" l="1"/>
  <c r="B77" i="1"/>
  <c r="B78" i="1" l="1"/>
  <c r="I4" i="1"/>
  <c r="B81" i="1" l="1"/>
  <c r="B83" i="1" s="1"/>
  <c r="B79" i="1"/>
  <c r="B71" i="1"/>
  <c r="B72" i="1" s="1"/>
  <c r="B73" i="1" s="1"/>
  <c r="B74" i="1" s="1"/>
  <c r="I5" i="1"/>
  <c r="B84" i="1" l="1"/>
  <c r="M4" i="1" s="1"/>
  <c r="B85" i="1"/>
  <c r="M5" i="1"/>
  <c r="B88" i="1"/>
  <c r="M17" i="1" s="1"/>
  <c r="M3" i="1"/>
  <c r="B87" i="1"/>
  <c r="M16" i="1" s="1"/>
</calcChain>
</file>

<file path=xl/sharedStrings.xml><?xml version="1.0" encoding="utf-8"?>
<sst xmlns="http://schemas.openxmlformats.org/spreadsheetml/2006/main" count="210" uniqueCount="195">
  <si>
    <t>Loss Type</t>
  </si>
  <si>
    <t>Loss (m)</t>
  </si>
  <si>
    <t>Head Type</t>
  </si>
  <si>
    <t>Value (m)</t>
  </si>
  <si>
    <t>Efficiency</t>
  </si>
  <si>
    <t>Power (kW)</t>
  </si>
  <si>
    <t>BASIC PROJECT INPUTS</t>
  </si>
  <si>
    <t>Intake</t>
  </si>
  <si>
    <t>Gross Head</t>
  </si>
  <si>
    <t>Gross Head (m)</t>
  </si>
  <si>
    <t>m</t>
  </si>
  <si>
    <t>Conveyance</t>
  </si>
  <si>
    <t>Total Losses</t>
  </si>
  <si>
    <t>Discharge (m³/s)</t>
  </si>
  <si>
    <t>m³/s</t>
  </si>
  <si>
    <t>Net Head</t>
  </si>
  <si>
    <t>Water Density (kg/m³)</t>
  </si>
  <si>
    <t>kg/m³</t>
  </si>
  <si>
    <t>Gravity (m/s²)</t>
  </si>
  <si>
    <t>m/s²</t>
  </si>
  <si>
    <t>Kinematic Viscosity (m²/s)</t>
  </si>
  <si>
    <t>m²/s</t>
  </si>
  <si>
    <t>Bulk Modulus Water (MPa)</t>
  </si>
  <si>
    <t>MPa</t>
  </si>
  <si>
    <t>INTAKE LOSSES &amp; SIZING</t>
  </si>
  <si>
    <t>Trash Rack Open %</t>
  </si>
  <si>
    <t>Entry Type (0=rounded, 1=sharp)</t>
  </si>
  <si>
    <t>Loss Component</t>
  </si>
  <si>
    <t>Component</t>
  </si>
  <si>
    <t>Size (m)</t>
  </si>
  <si>
    <t>Energy (MWh)</t>
  </si>
  <si>
    <t>Intake Diameter (2.0 m/s optimal)</t>
  </si>
  <si>
    <t>Trash Rack</t>
  </si>
  <si>
    <t>Trash Rack Loss</t>
  </si>
  <si>
    <t>Entry</t>
  </si>
  <si>
    <t>Entry Loss</t>
  </si>
  <si>
    <t>Friction</t>
  </si>
  <si>
    <t>TOTAL INTAKE LOSS</t>
  </si>
  <si>
    <t>90° Bends</t>
  </si>
  <si>
    <t>45° Bends</t>
  </si>
  <si>
    <t>CONVEYANCE LOSSES &amp; SIZING</t>
  </si>
  <si>
    <t>Conveyance Type (0=Pipe, 1=Channel)</t>
  </si>
  <si>
    <t>Pipe Diameter (m)</t>
  </si>
  <si>
    <t>Pipe Length (m)</t>
  </si>
  <si>
    <t>Pipe Roughness (m)</t>
  </si>
  <si>
    <t>Number of 90° Bends</t>
  </si>
  <si>
    <t>Number of 45° Bends</t>
  </si>
  <si>
    <t>Expansions/Contractions</t>
  </si>
  <si>
    <t>--- CHANNEL PARAMETERS ---</t>
  </si>
  <si>
    <t>Channel Type (0=Rect, 1=Trap)</t>
  </si>
  <si>
    <t>Channel Width (m)</t>
  </si>
  <si>
    <t>Channel Depth (m)</t>
  </si>
  <si>
    <t>Side Slope (H:V)</t>
  </si>
  <si>
    <t>Channel Length (m)</t>
  </si>
  <si>
    <t>Manning n</t>
  </si>
  <si>
    <t>Channel Slope</t>
  </si>
  <si>
    <t>PIPE CALCULATIONS</t>
  </si>
  <si>
    <t>Pipe Velocity</t>
  </si>
  <si>
    <t>Reynolds Number</t>
  </si>
  <si>
    <t>Friction Factor</t>
  </si>
  <si>
    <t>Friction Loss</t>
  </si>
  <si>
    <t>90° Bend Loss</t>
  </si>
  <si>
    <t>45° Bend Loss</t>
  </si>
  <si>
    <t>Expansion/Contraction Loss</t>
  </si>
  <si>
    <t>TOTAL PIPE LOSS</t>
  </si>
  <si>
    <t>CHANNEL CALCULATIONS</t>
  </si>
  <si>
    <t>Channel Area</t>
  </si>
  <si>
    <t>Wetted Perimeter</t>
  </si>
  <si>
    <t>Hydraulic Radius</t>
  </si>
  <si>
    <t>Channel Velocity</t>
  </si>
  <si>
    <t>Manning Friction Loss</t>
  </si>
  <si>
    <t>Recommended Depth</t>
  </si>
  <si>
    <t>Freeboard (min 0.5m)</t>
  </si>
  <si>
    <t>TOTAL CHANNEL LOSS</t>
  </si>
  <si>
    <t>TOTAL CONVEYANCE LOSS</t>
  </si>
  <si>
    <t>PENSTOCK SIZING</t>
  </si>
  <si>
    <t>Valve Closure Time (s)</t>
  </si>
  <si>
    <t>Safety Factor</t>
  </si>
  <si>
    <t>Optimal Penstock Diameter</t>
  </si>
  <si>
    <t>Speed of Sound (a)</t>
  </si>
  <si>
    <t>Surge Pressure</t>
  </si>
  <si>
    <t>Static Pressure</t>
  </si>
  <si>
    <t>Design Pressure</t>
  </si>
  <si>
    <t>Hoop Stress Thickness</t>
  </si>
  <si>
    <t>DESIGN WALL THICKNESS</t>
  </si>
  <si>
    <t>NET HEAD &amp; POWER CALCULATIONS</t>
  </si>
  <si>
    <t>TOTAL LOSSES</t>
  </si>
  <si>
    <t>NET HEAD</t>
  </si>
  <si>
    <t>Head Efficiency %</t>
  </si>
  <si>
    <t>HYDRAULIC POWER</t>
  </si>
  <si>
    <t>Power @ 75%</t>
  </si>
  <si>
    <t>Power @ 80%</t>
  </si>
  <si>
    <t>Power @ 85%</t>
  </si>
  <si>
    <t>Annual Energy @ 75%</t>
  </si>
  <si>
    <t>Annual Energy @ 85%</t>
  </si>
  <si>
    <t>⚡ HEADRACE DESIGN TOOL ⚡</t>
  </si>
  <si>
    <t>Intake Diameter</t>
  </si>
  <si>
    <t>Penstock Diameter</t>
  </si>
  <si>
    <t xml:space="preserve"> ----PIPE PARAMETERS ---</t>
  </si>
  <si>
    <t>GUIDE USER</t>
  </si>
  <si>
    <t>This Headrace Design Tool is a comprehensive spreadsheet that automatically calculates:</t>
  </si>
  <si>
    <t xml:space="preserve">Input Data &amp; Calculations </t>
  </si>
  <si>
    <t xml:space="preserve">(Columns A-B)    </t>
  </si>
  <si>
    <t xml:space="preserve"> Yellow cells = YOUR INPUTS   </t>
  </si>
  <si>
    <t xml:space="preserve">Green cells = AUTOMATIC CALCULATIONS    </t>
  </si>
  <si>
    <t>Colored headers = Section categories</t>
  </si>
  <si>
    <t>Cell</t>
  </si>
  <si>
    <t>Shows pipe calculations (B43-B50)</t>
  </si>
  <si>
    <t>Shows channel calculations (B53-B60)</t>
  </si>
  <si>
    <t>B22</t>
  </si>
  <si>
    <t>cell</t>
  </si>
  <si>
    <t>B33</t>
  </si>
  <si>
    <t>B43 = Pipe Velocity (should be 2-4 m/s)</t>
  </si>
  <si>
    <t>B46 = Friction Loss (biggest loss)</t>
  </si>
  <si>
    <t>B50 = Total Pipe Loss</t>
  </si>
  <si>
    <t>B81 = Hydraulic Power (in kW)</t>
  </si>
  <si>
    <t>#Try Filing  channel parameters (B32-B38):</t>
  </si>
  <si>
    <t>B33 = 0 (rectangular) or 1 (trapezoidal)</t>
  </si>
  <si>
    <t>B34 = Channel width (e.g., 2m)</t>
  </si>
  <si>
    <t>B35 = Channel depth (e.g., 1.5m)</t>
  </si>
  <si>
    <t>B36 = Side slope (e.g., 1.5 for trapezoid)</t>
  </si>
  <si>
    <t>B37 = Channel length (e.g., 100m)</t>
  </si>
  <si>
    <t>B38 = Manning n (0.015 for concrete)</t>
  </si>
  <si>
    <t>B39 = Channel slope (0.002 typical)</t>
  </si>
  <si>
    <t>B62 = Total Conveyance Loss (uses best system)</t>
  </si>
  <si>
    <t>B77 = Total Losses (intake + conveyance)</t>
  </si>
  <si>
    <t>B78 = NET HEAD (critical number!)</t>
  </si>
  <si>
    <t>B81 = HYDRAULIC POWER (your power potential)</t>
  </si>
  <si>
    <t>Site Data:           B4-B9</t>
  </si>
  <si>
    <t>Intake Settings:     B12-B13</t>
  </si>
  <si>
    <t>Pipe Parameters:     B24-B29</t>
  </si>
  <si>
    <t>Channel Parameters:  B32-B38</t>
  </si>
  <si>
    <t>Penstock Settings:   B65-B66</t>
  </si>
  <si>
    <t>B14</t>
  </si>
  <si>
    <t>Entry Type (0=rounded, 1=sharp): B12 = 80 (good balance between flow and cleaning), B13 = 0 (rounded entry is better, less loss)</t>
  </si>
  <si>
    <t>DO:</t>
  </si>
  <si>
    <t>├─ Save file regularly (Ctrl+S)</t>
  </si>
  <si>
    <t>├─ Make copies for each scenario (v1.0, v2.0)</t>
  </si>
  <si>
    <t>├─ Test both pipe AND channel modes</t>
  </si>
  <si>
    <t>├─ Change one parameter at a time</t>
  </si>
  <si>
    <t>├─ Watch how each change affects power</t>
  </si>
  <si>
    <t>├─ Document best scenario</t>
  </si>
  <si>
    <t>└─ Print results before finalizing</t>
  </si>
  <si>
    <t>❌ DON'T:</t>
  </si>
  <si>
    <t>├─ Edit green cells (formulas!)</t>
  </si>
  <si>
    <t>├─ Use unrealistic parameters</t>
  </si>
  <si>
    <t>├─ Forget to fill BOTH pipe AND channel params</t>
  </si>
  <si>
    <t>├─ Ignore the loss distribution chart</t>
  </si>
  <si>
    <t>├─ Use gross head in power calculations</t>
  </si>
  <si>
    <t>├─ Accept first calculation (optimize!)</t>
  </si>
  <si>
    <t>Full Name</t>
  </si>
  <si>
    <t>Formula/Input</t>
  </si>
  <si>
    <t>Type</t>
  </si>
  <si>
    <t>Value</t>
  </si>
  <si>
    <t>B4</t>
  </si>
  <si>
    <t>User Input (m)</t>
  </si>
  <si>
    <t>INPUT</t>
  </si>
  <si>
    <t>50 m</t>
  </si>
  <si>
    <t>B5</t>
  </si>
  <si>
    <t>Discharge</t>
  </si>
  <si>
    <t>User Input (m³/s)</t>
  </si>
  <si>
    <t>2 m³/s</t>
  </si>
  <si>
    <t>B6</t>
  </si>
  <si>
    <t>Water Density</t>
  </si>
  <si>
    <t>1000 (kg/m³)</t>
  </si>
  <si>
    <t>CONSTANT</t>
  </si>
  <si>
    <t>B7</t>
  </si>
  <si>
    <t>Gravity</t>
  </si>
  <si>
    <t>9.81 (m/s²)</t>
  </si>
  <si>
    <t>B8</t>
  </si>
  <si>
    <t>Kinematic Viscosity</t>
  </si>
  <si>
    <t>0.000001 (m²/s)</t>
  </si>
  <si>
    <t>B9</t>
  </si>
  <si>
    <t>Bulk Modulus Water</t>
  </si>
  <si>
    <t>2200 (MPa)</t>
  </si>
  <si>
    <t> REMEMBER</t>
  </si>
  <si>
    <t>Key Rules:</t>
  </si>
  <si>
    <t>1. Yellow cells = YOU FILL (Inputs)</t>
  </si>
  <si>
    <t>2. Green cells = AUTO-CALCULATE (Formulas)</t>
  </si>
  <si>
    <r>
      <t>✅ </t>
    </r>
    <r>
      <rPr>
        <sz val="12"/>
        <color rgb="FF1F2328"/>
        <rFont val="Calibri"/>
        <family val="2"/>
        <scheme val="minor"/>
      </rPr>
      <t>All energy losses</t>
    </r>
    <r>
      <rPr>
        <sz val="12"/>
        <color rgb="FF1F2328"/>
        <rFont val="Calibri"/>
        <family val="2"/>
        <scheme val="minor"/>
      </rPr>
      <t> (friction, bends, expansions)</t>
    </r>
  </si>
  <si>
    <r>
      <t>✅ </t>
    </r>
    <r>
      <rPr>
        <sz val="12"/>
        <color rgb="FF1F2328"/>
        <rFont val="Calibri"/>
        <family val="2"/>
        <scheme val="minor"/>
      </rPr>
      <t>Component sizes</t>
    </r>
    <r>
      <rPr>
        <sz val="12"/>
        <color rgb="FF1F2328"/>
        <rFont val="Calibri"/>
        <family val="2"/>
        <scheme val="minor"/>
      </rPr>
      <t> (intake, pipe, penstock)</t>
    </r>
  </si>
  <si>
    <r>
      <t>✅ </t>
    </r>
    <r>
      <rPr>
        <sz val="12"/>
        <color rgb="FF1F2328"/>
        <rFont val="Calibri"/>
        <family val="2"/>
        <scheme val="minor"/>
      </rPr>
      <t>Net head availability</t>
    </r>
    <r>
      <rPr>
        <sz val="12"/>
        <color rgb="FF1F2328"/>
        <rFont val="Calibri"/>
        <family val="2"/>
        <scheme val="minor"/>
      </rPr>
      <t> (power potential)</t>
    </r>
  </si>
  <si>
    <r>
      <t>✅ </t>
    </r>
    <r>
      <rPr>
        <sz val="12"/>
        <color rgb="FF1F2328"/>
        <rFont val="Calibri"/>
        <family val="2"/>
        <scheme val="minor"/>
      </rPr>
      <t>Hydraulic power</t>
    </r>
    <r>
      <rPr>
        <sz val="12"/>
        <color rgb="FF1F2328"/>
        <rFont val="Calibri"/>
        <family val="2"/>
        <scheme val="minor"/>
      </rPr>
      <t> (raw water power)</t>
    </r>
  </si>
  <si>
    <r>
      <t>✅ </t>
    </r>
    <r>
      <rPr>
        <sz val="12"/>
        <color rgb="FF1F2328"/>
        <rFont val="Calibri"/>
        <family val="2"/>
        <scheme val="minor"/>
      </rPr>
      <t>Annual energy generation</t>
    </r>
    <r>
      <rPr>
        <sz val="12"/>
        <color rgb="FF1F2328"/>
        <rFont val="Calibri"/>
        <family val="2"/>
        <scheme val="minor"/>
      </rPr>
      <t> (revenue projection)</t>
    </r>
  </si>
  <si>
    <r>
      <t>✅ </t>
    </r>
    <r>
      <rPr>
        <sz val="12"/>
        <color rgb="FF1F2328"/>
        <rFont val="Calibri"/>
        <family val="2"/>
        <scheme val="minor"/>
      </rPr>
      <t>Financial viability</t>
    </r>
    <r>
      <rPr>
        <sz val="12"/>
        <color rgb="FF1F2328"/>
        <rFont val="Calibri"/>
        <family val="2"/>
        <scheme val="minor"/>
      </rPr>
      <t> (payback period, ROI)</t>
    </r>
  </si>
  <si>
    <r>
      <t>PIPE MODE</t>
    </r>
    <r>
      <rPr>
        <sz val="12"/>
        <color rgb="FF1F2328"/>
        <rFont val="Calibri"/>
        <family val="2"/>
        <scheme val="minor"/>
      </rPr>
      <t> (B22=0): For pressurized pipe systems</t>
    </r>
  </si>
  <si>
    <r>
      <t>CHANNEL MODE</t>
    </r>
    <r>
      <rPr>
        <sz val="12"/>
        <color rgb="FF1F2328"/>
        <rFont val="Calibri"/>
        <family val="2"/>
        <scheme val="minor"/>
      </rPr>
      <t> (B22=1): For open channel systems</t>
    </r>
  </si>
  <si>
    <r>
      <t>B32:</t>
    </r>
    <r>
      <rPr>
        <sz val="12"/>
        <color rgb="FF1F2328"/>
        <rFont val="Calibri"/>
        <family val="2"/>
        <scheme val="minor"/>
      </rPr>
      <t> 0 for simple rectangular, 1 for sloped sides</t>
    </r>
  </si>
  <si>
    <r>
      <t>AUTO-TOGGLE</t>
    </r>
    <r>
      <rPr>
        <sz val="12"/>
        <color rgb="FF1F2328"/>
        <rFont val="Calibri"/>
        <family val="2"/>
        <scheme val="minor"/>
      </rPr>
      <t>: System automatically selects the better option so don't edit formular, just edit the input, you'll see changes in output. Don't edi formula!</t>
    </r>
  </si>
  <si>
    <r>
      <t>3. DON'T EDIT GREEN CELLS</t>
    </r>
    <r>
      <rPr>
        <sz val="12"/>
        <color rgb="FF1F2328"/>
        <rFont val="Calibri"/>
        <family val="2"/>
        <scheme val="minor"/>
      </rPr>
      <t> (breaks formulas!)</t>
    </r>
  </si>
  <si>
    <r>
      <t>4. B21 AUTO-TOGGLES</t>
    </r>
    <r>
      <rPr>
        <sz val="12"/>
        <color rgb="FF1F2328"/>
        <rFont val="Calibri"/>
        <family val="2"/>
        <scheme val="minor"/>
      </rPr>
      <t> (B21 = IF B50&lt;B60...)</t>
    </r>
  </si>
  <si>
    <r>
      <t>5. B78 IS CRITICAL</t>
    </r>
    <r>
      <rPr>
        <sz val="12"/>
        <color rgb="FF1F2328"/>
        <rFont val="Calibri"/>
        <family val="2"/>
        <scheme val="minor"/>
      </rPr>
      <t> (Net Head = Everything!)</t>
    </r>
  </si>
  <si>
    <r>
      <t>6. B81 IS POWER</t>
    </r>
    <r>
      <rPr>
        <sz val="12"/>
        <color rgb="FF1F2328"/>
        <rFont val="Calibri"/>
        <family val="2"/>
        <scheme val="minor"/>
      </rPr>
      <t> (Raw water power)</t>
    </r>
  </si>
  <si>
    <r>
      <t>7. B74 IS PENSTOCK</t>
    </r>
    <r>
      <rPr>
        <sz val="12"/>
        <color rgb="FF1F2328"/>
        <rFont val="Calibri"/>
        <family val="2"/>
        <scheme val="minor"/>
      </rPr>
      <t> (Wall thickness to order)</t>
    </r>
  </si>
  <si>
    <r>
      <t>8. B77 IS LOSSES</t>
    </r>
    <r>
      <rPr>
        <sz val="12"/>
        <color rgb="FF1F2328"/>
        <rFont val="Calibri"/>
        <family val="2"/>
        <scheme val="minor"/>
      </rPr>
      <t> (Where energy goes)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</si>
</sst>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5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48"/>
      <color rgb="FFFFFFFF"/>
      <name val="Calibri"/>
      <family val="2"/>
    </font>
    <font>
      <sz val="48"/>
      <color theme="1"/>
      <name val="Calibri"/>
      <family val="2"/>
      <scheme val="minor"/>
    </font>
    <font>
      <sz val="12"/>
      <color rgb="FF1F232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1F232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B3A8C"/>
        <bgColor rgb="FF1B3A8C"/>
      </patternFill>
    </fill>
    <fill>
      <patternFill patternType="solid">
        <fgColor rgb="FF667EEA"/>
        <bgColor rgb="FF667EEA"/>
      </patternFill>
    </fill>
    <fill>
      <patternFill patternType="solid">
        <fgColor rgb="FFECF0F1"/>
        <bgColor rgb="FFECF0F1"/>
      </patternFill>
    </fill>
    <fill>
      <patternFill patternType="solid">
        <fgColor rgb="FFFFEB3B"/>
        <bgColor rgb="FFFFEB3B"/>
      </patternFill>
    </fill>
    <fill>
      <patternFill patternType="solid">
        <fgColor rgb="FFF093FB"/>
        <bgColor rgb="FFF093FB"/>
      </patternFill>
    </fill>
    <fill>
      <patternFill patternType="solid">
        <fgColor rgb="FFDCEDC8"/>
        <bgColor rgb="FFDCEDC8"/>
      </patternFill>
    </fill>
    <fill>
      <patternFill patternType="solid">
        <fgColor rgb="FFFECA57"/>
        <bgColor rgb="FFFECA57"/>
      </patternFill>
    </fill>
    <fill>
      <patternFill patternType="solid">
        <fgColor rgb="FF4FACFE"/>
        <bgColor rgb="FF4FACFE"/>
      </patternFill>
    </fill>
    <fill>
      <patternFill patternType="solid">
        <fgColor rgb="FFFA709A"/>
        <bgColor rgb="FFFA709A"/>
      </patternFill>
    </fill>
    <fill>
      <patternFill patternType="solid">
        <fgColor rgb="FFA8EDEA"/>
        <bgColor rgb="FFA8EDEA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ECF0F1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14" borderId="0" xfId="0" applyFont="1" applyFill="1"/>
    <xf numFmtId="0" fontId="7" fillId="9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6" fillId="15" borderId="0" xfId="0" applyFont="1" applyFill="1"/>
    <xf numFmtId="164" fontId="6" fillId="15" borderId="0" xfId="0" applyNumberFormat="1" applyFont="1" applyFill="1"/>
    <xf numFmtId="0" fontId="8" fillId="4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165" fontId="6" fillId="15" borderId="0" xfId="0" applyNumberFormat="1" applyFont="1" applyFill="1"/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Font="1" applyAlignment="1">
      <alignment horizontal="left" vertical="center" indent="2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17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left" vertical="center"/>
    </xf>
    <xf numFmtId="0" fontId="11" fillId="17" borderId="3" xfId="0" applyFont="1" applyFill="1" applyBorder="1" applyAlignment="1">
      <alignment horizontal="left" vertical="center"/>
    </xf>
    <xf numFmtId="0" fontId="13" fillId="18" borderId="3" xfId="0" applyFont="1" applyFill="1" applyBorder="1" applyAlignment="1">
      <alignment horizontal="left" vertical="center"/>
    </xf>
    <xf numFmtId="0" fontId="11" fillId="18" borderId="3" xfId="0" applyFont="1" applyFill="1" applyBorder="1" applyAlignment="1">
      <alignment horizontal="left" vertical="center"/>
    </xf>
    <xf numFmtId="0" fontId="12" fillId="17" borderId="0" xfId="0" applyFont="1" applyFill="1"/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5" fillId="9" borderId="1" xfId="0" applyFont="1" applyFill="1" applyBorder="1" applyAlignment="1">
      <alignment horizontal="center" vertical="center" wrapText="1"/>
    </xf>
    <xf numFmtId="0" fontId="0" fillId="0" borderId="0" xfId="0"/>
    <xf numFmtId="0" fontId="1" fillId="11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alpha val="99000"/>
                  </a:schemeClr>
                </a:solidFill>
              </a:rPr>
              <a:t>Loss Distribution</a:t>
            </a:r>
          </a:p>
        </c:rich>
      </c:tx>
      <c:layout>
        <c:manualLayout>
          <c:xMode val="edge"/>
          <c:yMode val="edge"/>
          <c:x val="0.60877609063409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'Headrace Design'!$E$2</c:f>
              <c:strCache>
                <c:ptCount val="1"/>
                <c:pt idx="0">
                  <c:v>Loss (m)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19-40C0-AF76-2AA57E8BD87D}"/>
              </c:ext>
            </c:extLst>
          </c:dPt>
          <c:dPt>
            <c:idx val="1"/>
            <c:bubble3D val="0"/>
            <c:explosion val="8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14E-4DC5-9D22-EAA1CDD9B37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'Headrace Design'!$D$3:$D$4</c:f>
              <c:strCache>
                <c:ptCount val="2"/>
                <c:pt idx="0">
                  <c:v>Intake</c:v>
                </c:pt>
                <c:pt idx="1">
                  <c:v>Conveyance</c:v>
                </c:pt>
              </c:strCache>
            </c:strRef>
          </c:cat>
          <c:val>
            <c:numRef>
              <c:f>'Headrace Design'!$E$3:$E$4</c:f>
              <c:numCache>
                <c:formatCode>General</c:formatCode>
                <c:ptCount val="2"/>
                <c:pt idx="0">
                  <c:v>5.0968399592252807E-2</c:v>
                </c:pt>
                <c:pt idx="1">
                  <c:v>7.8113975789733248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3-4AE8-A51D-12E85DF6FBE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 Breakdown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8.4666666666666668E-2"/>
          <c:y val="0.16667047674981211"/>
          <c:w val="0.77889129629629628"/>
          <c:h val="0.7337590885212721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'Headrace Design'!$I$2</c:f>
              <c:strCache>
                <c:ptCount val="1"/>
                <c:pt idx="0">
                  <c:v>Value (m)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6B-493A-8600-D95FBD3E80F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6B-493A-8600-D95FBD3E80F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6B-493A-8600-D95FBD3E8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'Headrace Design'!$H$3:$H$5</c:f>
              <c:strCache>
                <c:ptCount val="3"/>
                <c:pt idx="0">
                  <c:v>Gross Head</c:v>
                </c:pt>
                <c:pt idx="1">
                  <c:v>Total Losses</c:v>
                </c:pt>
                <c:pt idx="2">
                  <c:v>Net Head</c:v>
                </c:pt>
              </c:strCache>
            </c:strRef>
          </c:cat>
          <c:val>
            <c:numRef>
              <c:f>'Headrace Design'!$I$3:$I$5</c:f>
              <c:numCache>
                <c:formatCode>General</c:formatCode>
                <c:ptCount val="3"/>
                <c:pt idx="0">
                  <c:v>50</c:v>
                </c:pt>
                <c:pt idx="1">
                  <c:v>7.8623659785655775</c:v>
                </c:pt>
                <c:pt idx="2">
                  <c:v>42.137634021434422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2-4BA0-9634-8A134D3C5B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Power at Different Efficiencies</a:t>
            </a:r>
          </a:p>
        </c:rich>
      </c:tx>
      <c:layout>
        <c:manualLayout>
          <c:xMode val="edge"/>
          <c:yMode val="edge"/>
          <c:x val="0.18975537037037038"/>
          <c:y val="9.952476272748004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0942962962962961"/>
          <c:y val="9.2221404278535896E-2"/>
          <c:w val="0.77828037037037034"/>
          <c:h val="0.805039832720363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'Headrace Design'!$M$2</c:f>
              <c:strCache>
                <c:ptCount val="1"/>
                <c:pt idx="0">
                  <c:v>Power (kW)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A64-49CE-B317-B64AA5FE56B9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A64-49CE-B317-B64AA5FE56B9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A64-49CE-B317-B64AA5FE56B9}"/>
              </c:ext>
            </c:extLst>
          </c:dPt>
          <c:cat>
            <c:strRef>
              <c:f>'Headrace Design'!$L$3:$L$5</c:f>
              <c:strCache>
                <c:ptCount val="3"/>
                <c:pt idx="0">
                  <c:v>Power @ 75%</c:v>
                </c:pt>
                <c:pt idx="1">
                  <c:v>Power @ 80%</c:v>
                </c:pt>
                <c:pt idx="2">
                  <c:v>Power @ 85%</c:v>
                </c:pt>
              </c:strCache>
            </c:strRef>
          </c:cat>
          <c:val>
            <c:numRef>
              <c:f>'Headrace Design'!$M$3:$M$5</c:f>
              <c:numCache>
                <c:formatCode>General</c:formatCode>
                <c:ptCount val="3"/>
                <c:pt idx="0">
                  <c:v>620.05528462540747</c:v>
                </c:pt>
                <c:pt idx="1">
                  <c:v>661.39230360043473</c:v>
                </c:pt>
                <c:pt idx="2">
                  <c:v>702.72932257546177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5-4C45-806E-D58F270BD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Detailed Loss Breakdown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5249245416463747"/>
          <c:y val="0.14267285544341241"/>
          <c:w val="0.72408752146929978"/>
          <c:h val="0.5800681132070009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'Headrace Design'!$E$15</c:f>
              <c:strCache>
                <c:ptCount val="1"/>
                <c:pt idx="0">
                  <c:v>Loss (m)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AAA-47BD-925B-F9EAAB0CF9A7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AAA-47BD-925B-F9EAAB0CF9A7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AAA-47BD-925B-F9EAAB0CF9A7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AAA-47BD-925B-F9EAAB0CF9A7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AAA-47BD-925B-F9EAAB0CF9A7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8AAA-47BD-925B-F9EAAB0CF9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'Headrace Design'!$D$16:$D$21</c:f>
              <c:strCache>
                <c:ptCount val="6"/>
                <c:pt idx="0">
                  <c:v>Trash Rack</c:v>
                </c:pt>
                <c:pt idx="1">
                  <c:v>Entry</c:v>
                </c:pt>
                <c:pt idx="2">
                  <c:v>Friction</c:v>
                </c:pt>
                <c:pt idx="3">
                  <c:v>90° Bends</c:v>
                </c:pt>
                <c:pt idx="4">
                  <c:v>45° Bends</c:v>
                </c:pt>
                <c:pt idx="5">
                  <c:v>Expansion/Contraction Loss</c:v>
                </c:pt>
              </c:strCache>
            </c:strRef>
          </c:cat>
          <c:val>
            <c:numRef>
              <c:f>'Headrace Design'!$E$16:$E$21</c:f>
              <c:numCache>
                <c:formatCode>General</c:formatCode>
                <c:ptCount val="6"/>
                <c:pt idx="0">
                  <c:v>4.0774719673802244E-2</c:v>
                </c:pt>
                <c:pt idx="1">
                  <c:v>1.0193679918450561E-2</c:v>
                </c:pt>
                <c:pt idx="2" formatCode="0.000000">
                  <c:v>6.5768361383771792</c:v>
                </c:pt>
                <c:pt idx="3">
                  <c:v>0.36310630605768979</c:v>
                </c:pt>
                <c:pt idx="4">
                  <c:v>6.4552232188033742E-2</c:v>
                </c:pt>
                <c:pt idx="5">
                  <c:v>0.80690290235042184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F-4197-9800-F2E9F859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Energy Generation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31420537037037038"/>
          <c:y val="0.10172512716326811"/>
          <c:w val="0.68420629629629637"/>
          <c:h val="0.777857063526102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'Headrace Design'!$M$15</c:f>
              <c:strCache>
                <c:ptCount val="1"/>
                <c:pt idx="0">
                  <c:v>Energy (MWh)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7-4DAC-9883-ED2F2B9222B0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7-4DAC-9883-ED2F2B9222B0}"/>
              </c:ext>
            </c:extLst>
          </c:dPt>
          <c:cat>
            <c:strRef>
              <c:f>'Headrace Design'!$L$16:$L$17</c:f>
              <c:strCache>
                <c:ptCount val="2"/>
                <c:pt idx="0">
                  <c:v>Annual Energy @ 75%</c:v>
                </c:pt>
                <c:pt idx="1">
                  <c:v>Annual Energy @ 85%</c:v>
                </c:pt>
              </c:strCache>
            </c:strRef>
          </c:cat>
          <c:val>
            <c:numRef>
              <c:f>'Headrace Design'!$M$16:$M$17</c:f>
              <c:numCache>
                <c:formatCode>0.0000</c:formatCode>
                <c:ptCount val="2"/>
                <c:pt idx="0">
                  <c:v>4960.4422770032597</c:v>
                </c:pt>
                <c:pt idx="1">
                  <c:v>5621.8345806036941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7-4281-9C09-25561E12E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21</xdr:row>
      <xdr:rowOff>156071</xdr:rowOff>
    </xdr:from>
    <xdr:ext cx="5088416" cy="38926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423344</xdr:colOff>
      <xdr:row>43</xdr:row>
      <xdr:rowOff>108534</xdr:rowOff>
    </xdr:from>
    <xdr:ext cx="5400000" cy="424312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842888</xdr:colOff>
      <xdr:row>18</xdr:row>
      <xdr:rowOff>82622</xdr:rowOff>
    </xdr:from>
    <xdr:ext cx="5400000" cy="381918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535740</xdr:colOff>
      <xdr:row>66</xdr:row>
      <xdr:rowOff>145830</xdr:rowOff>
    </xdr:from>
    <xdr:ext cx="6946547" cy="552785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786404</xdr:colOff>
      <xdr:row>40</xdr:row>
      <xdr:rowOff>135396</xdr:rowOff>
    </xdr:from>
    <xdr:ext cx="5400000" cy="4555954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8"/>
  <sheetViews>
    <sheetView tabSelected="1" topLeftCell="A57" zoomScale="63" zoomScaleNormal="63" workbookViewId="0">
      <selection activeCell="D76" sqref="D76"/>
    </sheetView>
  </sheetViews>
  <sheetFormatPr defaultRowHeight="14.4"/>
  <cols>
    <col min="1" max="1" width="35" customWidth="1"/>
    <col min="2" max="2" width="20" customWidth="1"/>
    <col min="3" max="3" width="15" customWidth="1"/>
    <col min="4" max="4" width="24.109375" customWidth="1"/>
    <col min="5" max="7" width="18" customWidth="1"/>
    <col min="8" max="8" width="24.44140625" customWidth="1"/>
    <col min="9" max="10" width="18" customWidth="1"/>
    <col min="11" max="11" width="3.77734375" customWidth="1"/>
    <col min="12" max="12" width="18.44140625" customWidth="1"/>
    <col min="13" max="13" width="13.21875" customWidth="1"/>
    <col min="19" max="19" width="8.88671875" style="17"/>
    <col min="20" max="20" width="19.44140625" customWidth="1"/>
    <col min="21" max="21" width="16.88671875" customWidth="1"/>
    <col min="27" max="27" width="7.88671875" customWidth="1"/>
    <col min="36" max="36" width="12" customWidth="1"/>
    <col min="37" max="37" width="23.21875" customWidth="1"/>
    <col min="38" max="38" width="16.109375" customWidth="1"/>
  </cols>
  <sheetData>
    <row r="1" spans="1:45" ht="64.8" customHeight="1">
      <c r="A1" s="40" t="s">
        <v>95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T1" s="41" t="s">
        <v>99</v>
      </c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spans="1:45" ht="16.2" thickBot="1">
      <c r="D2" s="13" t="s">
        <v>0</v>
      </c>
      <c r="E2" s="13" t="s">
        <v>1</v>
      </c>
      <c r="H2" s="13" t="s">
        <v>2</v>
      </c>
      <c r="I2" s="13" t="s">
        <v>3</v>
      </c>
      <c r="L2" s="13" t="s">
        <v>4</v>
      </c>
      <c r="M2" s="13" t="s">
        <v>5</v>
      </c>
      <c r="T2" s="23" t="s">
        <v>100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5" t="s">
        <v>128</v>
      </c>
      <c r="AF2" s="24"/>
      <c r="AG2" s="24"/>
      <c r="AH2" s="24"/>
      <c r="AI2" s="24"/>
      <c r="AJ2" s="26"/>
      <c r="AK2" s="24"/>
      <c r="AL2" s="24"/>
      <c r="AM2" s="24"/>
      <c r="AN2" s="24"/>
      <c r="AO2" s="24"/>
      <c r="AP2" s="24"/>
      <c r="AQ2" s="24"/>
      <c r="AR2" s="24"/>
      <c r="AS2" s="24"/>
    </row>
    <row r="3" spans="1:45" ht="16.2" thickBot="1">
      <c r="A3" s="45" t="s">
        <v>6</v>
      </c>
      <c r="B3" s="43"/>
      <c r="C3" s="43"/>
      <c r="D3" s="18" t="s">
        <v>7</v>
      </c>
      <c r="E3" s="18">
        <f>B19</f>
        <v>5.0968399592252807E-2</v>
      </c>
      <c r="H3" s="18" t="s">
        <v>8</v>
      </c>
      <c r="I3" s="18">
        <f>B4</f>
        <v>50</v>
      </c>
      <c r="L3" s="21" t="s">
        <v>90</v>
      </c>
      <c r="M3" s="18">
        <f>B83</f>
        <v>620.05528462540747</v>
      </c>
      <c r="T3" s="27" t="s">
        <v>179</v>
      </c>
      <c r="U3" s="24"/>
      <c r="V3" s="24"/>
      <c r="W3" s="24"/>
      <c r="X3" s="24"/>
      <c r="Y3" s="24"/>
      <c r="Z3" s="24"/>
      <c r="AA3" s="24"/>
      <c r="AB3" s="24"/>
      <c r="AC3" s="24"/>
      <c r="AD3" s="24"/>
      <c r="AE3" s="25" t="s">
        <v>129</v>
      </c>
      <c r="AF3" s="24"/>
      <c r="AG3" s="24"/>
      <c r="AH3" s="24"/>
      <c r="AI3" s="24"/>
      <c r="AJ3" s="28" t="s">
        <v>106</v>
      </c>
      <c r="AK3" s="28" t="s">
        <v>150</v>
      </c>
      <c r="AL3" s="28" t="s">
        <v>151</v>
      </c>
      <c r="AM3" s="28" t="s">
        <v>152</v>
      </c>
      <c r="AN3" s="28" t="s">
        <v>153</v>
      </c>
      <c r="AO3" s="24"/>
      <c r="AP3" s="24"/>
      <c r="AQ3" s="24"/>
      <c r="AR3" s="24"/>
      <c r="AS3" s="24"/>
    </row>
    <row r="4" spans="1:45" ht="16.2" thickBot="1">
      <c r="A4" s="1" t="s">
        <v>9</v>
      </c>
      <c r="B4" s="2">
        <v>50</v>
      </c>
      <c r="C4" s="3" t="s">
        <v>10</v>
      </c>
      <c r="D4" s="18" t="s">
        <v>11</v>
      </c>
      <c r="E4" s="18">
        <f>B62</f>
        <v>7.8113975789733248</v>
      </c>
      <c r="H4" s="18" t="s">
        <v>12</v>
      </c>
      <c r="I4" s="18">
        <f>B77</f>
        <v>7.8623659785655775</v>
      </c>
      <c r="L4" s="21" t="s">
        <v>91</v>
      </c>
      <c r="M4" s="18">
        <f>B84</f>
        <v>661.39230360043473</v>
      </c>
      <c r="T4" s="27" t="s">
        <v>180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5" t="s">
        <v>130</v>
      </c>
      <c r="AF4" s="24"/>
      <c r="AG4" s="24"/>
      <c r="AH4" s="24"/>
      <c r="AI4" s="24"/>
      <c r="AJ4" s="29" t="s">
        <v>154</v>
      </c>
      <c r="AK4" s="30" t="s">
        <v>8</v>
      </c>
      <c r="AL4" s="30" t="s">
        <v>155</v>
      </c>
      <c r="AM4" s="30" t="s">
        <v>156</v>
      </c>
      <c r="AN4" s="30" t="s">
        <v>157</v>
      </c>
      <c r="AO4" s="24"/>
      <c r="AP4" s="24"/>
      <c r="AQ4" s="24"/>
      <c r="AR4" s="24"/>
      <c r="AS4" s="24"/>
    </row>
    <row r="5" spans="1:45" ht="16.2" thickBot="1">
      <c r="A5" s="1" t="s">
        <v>13</v>
      </c>
      <c r="B5" s="2">
        <v>2</v>
      </c>
      <c r="C5" s="3" t="s">
        <v>14</v>
      </c>
      <c r="H5" s="18" t="s">
        <v>15</v>
      </c>
      <c r="I5" s="18">
        <f>B78</f>
        <v>42.137634021434422</v>
      </c>
      <c r="L5" s="21" t="s">
        <v>92</v>
      </c>
      <c r="M5" s="18">
        <f>B85</f>
        <v>702.72932257546177</v>
      </c>
      <c r="T5" s="27" t="s">
        <v>181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5" t="s">
        <v>131</v>
      </c>
      <c r="AF5" s="24"/>
      <c r="AG5" s="24"/>
      <c r="AH5" s="24"/>
      <c r="AI5" s="24"/>
      <c r="AJ5" s="31" t="s">
        <v>158</v>
      </c>
      <c r="AK5" s="32" t="s">
        <v>159</v>
      </c>
      <c r="AL5" s="32" t="s">
        <v>160</v>
      </c>
      <c r="AM5" s="32" t="s">
        <v>156</v>
      </c>
      <c r="AN5" s="32" t="s">
        <v>161</v>
      </c>
      <c r="AO5" s="24"/>
      <c r="AP5" s="24"/>
      <c r="AQ5" s="24"/>
      <c r="AR5" s="24"/>
      <c r="AS5" s="24"/>
    </row>
    <row r="6" spans="1:45" ht="16.2" thickBot="1">
      <c r="A6" s="1" t="s">
        <v>16</v>
      </c>
      <c r="B6" s="2">
        <v>1000</v>
      </c>
      <c r="C6" s="3" t="s">
        <v>17</v>
      </c>
      <c r="T6" s="27" t="s">
        <v>182</v>
      </c>
      <c r="U6" s="24"/>
      <c r="V6" s="24"/>
      <c r="W6" s="24"/>
      <c r="X6" s="24"/>
      <c r="Y6" s="24"/>
      <c r="Z6" s="24"/>
      <c r="AA6" s="24"/>
      <c r="AB6" s="24"/>
      <c r="AC6" s="24"/>
      <c r="AD6" s="24"/>
      <c r="AE6" s="25" t="s">
        <v>132</v>
      </c>
      <c r="AF6" s="24"/>
      <c r="AG6" s="24"/>
      <c r="AH6" s="24"/>
      <c r="AI6" s="24"/>
      <c r="AJ6" s="29" t="s">
        <v>162</v>
      </c>
      <c r="AK6" s="30" t="s">
        <v>163</v>
      </c>
      <c r="AL6" s="30" t="s">
        <v>164</v>
      </c>
      <c r="AM6" s="30" t="s">
        <v>165</v>
      </c>
      <c r="AN6" s="30">
        <v>1000</v>
      </c>
      <c r="AO6" s="24"/>
      <c r="AP6" s="24"/>
      <c r="AQ6" s="24"/>
      <c r="AR6" s="24"/>
      <c r="AS6" s="24"/>
    </row>
    <row r="7" spans="1:45" ht="16.2" thickBot="1">
      <c r="A7" s="1" t="s">
        <v>18</v>
      </c>
      <c r="B7" s="2">
        <v>9.81</v>
      </c>
      <c r="C7" s="3" t="s">
        <v>19</v>
      </c>
      <c r="T7" s="27" t="s">
        <v>183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5"/>
      <c r="AF7" s="24"/>
      <c r="AG7" s="24"/>
      <c r="AH7" s="24"/>
      <c r="AI7" s="24"/>
      <c r="AJ7" s="31" t="s">
        <v>166</v>
      </c>
      <c r="AK7" s="32" t="s">
        <v>167</v>
      </c>
      <c r="AL7" s="32" t="s">
        <v>168</v>
      </c>
      <c r="AM7" s="32" t="s">
        <v>165</v>
      </c>
      <c r="AN7" s="32">
        <v>9.81</v>
      </c>
      <c r="AO7" s="24"/>
      <c r="AP7" s="24"/>
      <c r="AQ7" s="24"/>
      <c r="AR7" s="24"/>
      <c r="AS7" s="24"/>
    </row>
    <row r="8" spans="1:45" ht="16.2" thickBot="1">
      <c r="A8" s="1" t="s">
        <v>20</v>
      </c>
      <c r="B8" s="2">
        <v>9.9999999999999995E-7</v>
      </c>
      <c r="C8" s="3" t="s">
        <v>21</v>
      </c>
      <c r="T8" s="27" t="s">
        <v>184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5"/>
      <c r="AF8" s="24"/>
      <c r="AG8" s="24"/>
      <c r="AH8" s="24"/>
      <c r="AI8" s="24"/>
      <c r="AJ8" s="29" t="s">
        <v>169</v>
      </c>
      <c r="AK8" s="30" t="s">
        <v>170</v>
      </c>
      <c r="AL8" s="30" t="s">
        <v>171</v>
      </c>
      <c r="AM8" s="30" t="s">
        <v>165</v>
      </c>
      <c r="AN8" s="30">
        <v>9.9999999999999995E-7</v>
      </c>
      <c r="AO8" s="24"/>
      <c r="AP8" s="24"/>
      <c r="AQ8" s="24"/>
      <c r="AR8" s="24"/>
      <c r="AS8" s="24"/>
    </row>
    <row r="9" spans="1:45" ht="16.2" thickBot="1">
      <c r="A9" s="1" t="s">
        <v>22</v>
      </c>
      <c r="B9" s="2">
        <v>2200</v>
      </c>
      <c r="C9" s="3" t="s">
        <v>23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4"/>
      <c r="AG9" s="24"/>
      <c r="AH9" s="24"/>
      <c r="AI9" s="24"/>
      <c r="AJ9" s="31" t="s">
        <v>172</v>
      </c>
      <c r="AK9" s="32" t="s">
        <v>173</v>
      </c>
      <c r="AL9" s="32" t="s">
        <v>174</v>
      </c>
      <c r="AM9" s="32" t="s">
        <v>165</v>
      </c>
      <c r="AN9" s="33"/>
      <c r="AO9" s="24"/>
      <c r="AP9" s="24"/>
      <c r="AQ9" s="24"/>
      <c r="AR9" s="24"/>
      <c r="AS9" s="24"/>
    </row>
    <row r="10" spans="1:45" ht="16.2" thickBot="1">
      <c r="T10" s="39" t="s">
        <v>110</v>
      </c>
      <c r="U10" s="34" t="s">
        <v>185</v>
      </c>
      <c r="V10" s="24"/>
      <c r="W10" s="24"/>
      <c r="X10" s="24"/>
      <c r="Y10" s="30" t="s">
        <v>107</v>
      </c>
      <c r="Z10" s="24"/>
      <c r="AA10" s="24"/>
      <c r="AB10" s="24"/>
      <c r="AC10" s="24"/>
      <c r="AD10" s="24"/>
      <c r="AE10" s="25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</row>
    <row r="11" spans="1:45" ht="16.2" thickBot="1">
      <c r="T11" s="27" t="s">
        <v>109</v>
      </c>
      <c r="U11" s="34" t="s">
        <v>186</v>
      </c>
      <c r="V11" s="24"/>
      <c r="W11" s="24"/>
      <c r="X11" s="24"/>
      <c r="Y11" s="32" t="s">
        <v>108</v>
      </c>
      <c r="Z11" s="24"/>
      <c r="AA11" s="24"/>
      <c r="AB11" s="24"/>
      <c r="AC11" s="24"/>
      <c r="AD11" s="24"/>
      <c r="AE11" s="25"/>
      <c r="AF11" s="24"/>
      <c r="AG11" s="24"/>
      <c r="AH11" s="24"/>
      <c r="AI11" s="24"/>
      <c r="AJ11" s="26"/>
      <c r="AK11" s="24"/>
      <c r="AL11" s="24"/>
      <c r="AM11" s="24"/>
      <c r="AN11" s="24"/>
      <c r="AO11" s="24"/>
      <c r="AP11" s="24"/>
      <c r="AQ11" s="24"/>
      <c r="AR11" s="24"/>
      <c r="AS11" s="24"/>
    </row>
    <row r="12" spans="1:45" ht="16.2" thickBot="1">
      <c r="A12" s="48" t="s">
        <v>24</v>
      </c>
      <c r="B12" s="43"/>
      <c r="C12" s="43"/>
      <c r="T12" s="27" t="s">
        <v>133</v>
      </c>
      <c r="U12" s="34" t="s">
        <v>134</v>
      </c>
      <c r="V12" s="24"/>
      <c r="W12" s="24"/>
      <c r="X12" s="24"/>
      <c r="Y12" s="24"/>
      <c r="Z12" s="24"/>
      <c r="AA12" s="24"/>
      <c r="AB12" s="24"/>
      <c r="AC12" s="24"/>
      <c r="AD12" s="24"/>
      <c r="AE12" s="25"/>
      <c r="AF12" s="24"/>
      <c r="AG12" s="24"/>
      <c r="AH12" s="24"/>
      <c r="AI12" s="24"/>
      <c r="AJ12" s="28"/>
      <c r="AK12" s="28"/>
      <c r="AL12" s="28"/>
      <c r="AM12" s="28"/>
      <c r="AN12" s="28"/>
      <c r="AO12" s="24"/>
      <c r="AP12" s="24"/>
      <c r="AQ12" s="24"/>
      <c r="AR12" s="24"/>
      <c r="AS12" s="24"/>
    </row>
    <row r="13" spans="1:45" ht="16.2" thickBot="1">
      <c r="A13" s="1" t="s">
        <v>25</v>
      </c>
      <c r="B13" s="4">
        <v>80</v>
      </c>
      <c r="T13" s="24" t="s">
        <v>111</v>
      </c>
      <c r="U13" s="34" t="s">
        <v>49</v>
      </c>
      <c r="V13" s="24"/>
      <c r="W13" s="24"/>
      <c r="X13" s="34" t="s">
        <v>187</v>
      </c>
      <c r="Y13" s="24"/>
      <c r="Z13" s="24"/>
      <c r="AA13" s="24"/>
      <c r="AB13" s="24"/>
      <c r="AC13" s="24"/>
      <c r="AD13" s="24"/>
      <c r="AE13" s="25"/>
      <c r="AF13" s="24"/>
      <c r="AG13" s="24"/>
      <c r="AH13" s="24"/>
      <c r="AI13" s="24"/>
      <c r="AJ13" s="29"/>
      <c r="AK13" s="30"/>
      <c r="AL13" s="30"/>
      <c r="AM13" s="30"/>
      <c r="AN13" s="30"/>
      <c r="AO13" s="24"/>
      <c r="AP13" s="24"/>
      <c r="AQ13" s="24"/>
      <c r="AR13" s="24"/>
      <c r="AS13" s="24"/>
    </row>
    <row r="14" spans="1:45" ht="16.2" thickBot="1">
      <c r="A14" s="20" t="s">
        <v>26</v>
      </c>
      <c r="B14" s="4">
        <v>0</v>
      </c>
      <c r="T14" s="34" t="s">
        <v>188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5"/>
      <c r="AF14" s="24"/>
      <c r="AG14" s="24"/>
      <c r="AH14" s="24"/>
      <c r="AI14" s="24"/>
      <c r="AJ14" s="31"/>
      <c r="AK14" s="32"/>
      <c r="AL14" s="32"/>
      <c r="AM14" s="32"/>
      <c r="AN14" s="32"/>
      <c r="AO14" s="24"/>
      <c r="AP14" s="24"/>
      <c r="AQ14" s="24"/>
      <c r="AR14" s="24"/>
      <c r="AS14" s="24"/>
    </row>
    <row r="15" spans="1:45" ht="16.2" thickBot="1">
      <c r="D15" s="13" t="s">
        <v>27</v>
      </c>
      <c r="E15" s="13" t="s">
        <v>1</v>
      </c>
      <c r="H15" s="13" t="s">
        <v>28</v>
      </c>
      <c r="I15" s="13" t="s">
        <v>29</v>
      </c>
      <c r="L15" s="13" t="s">
        <v>4</v>
      </c>
      <c r="M15" s="13" t="s">
        <v>30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5"/>
      <c r="AF15" s="24"/>
      <c r="AG15" s="24"/>
      <c r="AH15" s="24"/>
      <c r="AI15" s="24"/>
      <c r="AJ15" s="29"/>
      <c r="AK15" s="29"/>
      <c r="AL15" s="30"/>
      <c r="AM15" s="30"/>
      <c r="AN15" s="30"/>
      <c r="AO15" s="24"/>
      <c r="AP15" s="24"/>
      <c r="AQ15" s="24"/>
      <c r="AR15" s="24"/>
      <c r="AS15" s="24"/>
    </row>
    <row r="16" spans="1:45" ht="15.6">
      <c r="A16" s="1" t="s">
        <v>31</v>
      </c>
      <c r="B16" s="5">
        <f>SQRT(4*B5/(PI()*2^2))</f>
        <v>0.79788456080286541</v>
      </c>
      <c r="D16" s="18" t="s">
        <v>32</v>
      </c>
      <c r="E16" s="18">
        <f>B17</f>
        <v>4.0774719673802244E-2</v>
      </c>
      <c r="H16" s="18" t="s">
        <v>96</v>
      </c>
      <c r="I16" s="18">
        <f>B16</f>
        <v>0.79788456080286541</v>
      </c>
      <c r="L16" s="21" t="s">
        <v>93</v>
      </c>
      <c r="M16" s="22">
        <f>B87</f>
        <v>4960.4422770032597</v>
      </c>
      <c r="T16" s="35" t="s">
        <v>101</v>
      </c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5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</row>
    <row r="17" spans="1:45" ht="16.2" thickBot="1">
      <c r="A17" s="1" t="s">
        <v>33</v>
      </c>
      <c r="B17" s="5">
        <f>IF(B22=0, ((100-B13)/100)*(2^2)/(2*B7), 0)</f>
        <v>4.0774719673802244E-2</v>
      </c>
      <c r="D17" s="18" t="s">
        <v>34</v>
      </c>
      <c r="E17" s="18">
        <f>B18</f>
        <v>1.0193679918450561E-2</v>
      </c>
      <c r="H17" s="18" t="s">
        <v>97</v>
      </c>
      <c r="I17" s="18">
        <f>B68</f>
        <v>1.0638460810704873</v>
      </c>
      <c r="L17" s="21" t="s">
        <v>94</v>
      </c>
      <c r="M17" s="22">
        <f>B88</f>
        <v>5621.8345806036941</v>
      </c>
      <c r="T17" s="35" t="s">
        <v>102</v>
      </c>
      <c r="U17" s="24"/>
      <c r="V17" s="24"/>
      <c r="W17" s="24"/>
      <c r="X17" s="25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</row>
    <row r="18" spans="1:45" ht="16.2" thickBot="1">
      <c r="A18" s="1" t="s">
        <v>35</v>
      </c>
      <c r="B18" s="5">
        <f>IF(B22=0, IF(B14=0, 0.05, 0.5)*(2^2)/(2*B7), 0)</f>
        <v>1.0193679918450561E-2</v>
      </c>
      <c r="D18" s="18" t="s">
        <v>36</v>
      </c>
      <c r="E18" s="19">
        <f>B46</f>
        <v>6.5768361383771792</v>
      </c>
      <c r="H18" s="18" t="s">
        <v>71</v>
      </c>
      <c r="I18" s="18">
        <f>B58</f>
        <v>0</v>
      </c>
      <c r="T18" s="35" t="s">
        <v>103</v>
      </c>
      <c r="U18" s="24"/>
      <c r="V18" s="24"/>
      <c r="W18" s="24"/>
      <c r="X18" s="24"/>
      <c r="Y18" s="25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8"/>
      <c r="AK18" s="28"/>
      <c r="AL18" s="28"/>
      <c r="AM18" s="28"/>
      <c r="AN18" s="28"/>
      <c r="AO18" s="24"/>
      <c r="AP18" s="24"/>
      <c r="AQ18" s="24"/>
      <c r="AR18" s="24"/>
      <c r="AS18" s="24"/>
    </row>
    <row r="19" spans="1:45" ht="16.2" thickBot="1">
      <c r="A19" s="6" t="s">
        <v>37</v>
      </c>
      <c r="B19" s="7">
        <f>B17+B18</f>
        <v>5.0968399592252807E-2</v>
      </c>
      <c r="D19" s="18" t="s">
        <v>38</v>
      </c>
      <c r="E19" s="18">
        <f>B47</f>
        <v>0.36310630605768979</v>
      </c>
      <c r="T19" s="35" t="s">
        <v>104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9"/>
      <c r="AK19" s="29"/>
      <c r="AL19" s="30"/>
      <c r="AM19" s="30"/>
      <c r="AN19" s="30"/>
      <c r="AO19" s="24"/>
      <c r="AP19" s="24"/>
      <c r="AQ19" s="24"/>
      <c r="AR19" s="24"/>
      <c r="AS19" s="24"/>
    </row>
    <row r="20" spans="1:45" ht="16.2" thickBot="1">
      <c r="D20" s="18" t="s">
        <v>39</v>
      </c>
      <c r="E20" s="18">
        <f>B48</f>
        <v>6.4552232188033742E-2</v>
      </c>
      <c r="T20" s="35" t="s">
        <v>105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31"/>
      <c r="AK20" s="31"/>
      <c r="AL20" s="32"/>
      <c r="AM20" s="32"/>
      <c r="AN20" s="32"/>
      <c r="AO20" s="24"/>
      <c r="AP20" s="24"/>
      <c r="AQ20" s="24"/>
      <c r="AR20" s="24"/>
      <c r="AS20" s="24"/>
    </row>
    <row r="21" spans="1:45" ht="16.2" thickBot="1">
      <c r="A21" s="46" t="s">
        <v>40</v>
      </c>
      <c r="B21" s="43"/>
      <c r="C21" s="43"/>
      <c r="D21" s="18" t="s">
        <v>63</v>
      </c>
      <c r="E21" s="18">
        <f>B49</f>
        <v>0.80690290235042184</v>
      </c>
      <c r="T21" s="36" t="s">
        <v>112</v>
      </c>
      <c r="U21" s="28"/>
      <c r="V21" s="28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9"/>
      <c r="AK21" s="29"/>
      <c r="AL21" s="33"/>
      <c r="AM21" s="33"/>
      <c r="AN21" s="33"/>
      <c r="AO21" s="24"/>
      <c r="AP21" s="24"/>
      <c r="AQ21" s="24"/>
      <c r="AR21" s="24"/>
      <c r="AS21" s="24"/>
    </row>
    <row r="22" spans="1:45" ht="16.2" thickBot="1">
      <c r="A22" s="1" t="s">
        <v>41</v>
      </c>
      <c r="B22" s="4">
        <v>0</v>
      </c>
      <c r="T22" s="36" t="s">
        <v>113</v>
      </c>
      <c r="U22" s="29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</row>
    <row r="23" spans="1:45" ht="16.2" thickBot="1">
      <c r="T23" s="36" t="s">
        <v>114</v>
      </c>
      <c r="U23" s="31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</row>
    <row r="24" spans="1:45" ht="15.6">
      <c r="A24" s="20" t="s">
        <v>98</v>
      </c>
      <c r="T24" s="36" t="s">
        <v>115</v>
      </c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</row>
    <row r="25" spans="1:45" ht="15.6">
      <c r="A25" s="1" t="s">
        <v>42</v>
      </c>
      <c r="B25" s="4">
        <v>0.8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</row>
    <row r="26" spans="1:45" ht="15.6">
      <c r="A26" s="1" t="s">
        <v>43</v>
      </c>
      <c r="B26" s="4">
        <v>500</v>
      </c>
      <c r="T26" s="37" t="s">
        <v>116</v>
      </c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</row>
    <row r="27" spans="1:45" ht="15.6">
      <c r="A27" s="1" t="s">
        <v>44</v>
      </c>
      <c r="B27" s="4">
        <v>1E-4</v>
      </c>
      <c r="T27" s="27" t="s">
        <v>117</v>
      </c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</row>
    <row r="28" spans="1:45" ht="15.6">
      <c r="A28" s="1" t="s">
        <v>45</v>
      </c>
      <c r="B28" s="4">
        <v>3</v>
      </c>
      <c r="T28" s="27" t="s">
        <v>118</v>
      </c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</row>
    <row r="29" spans="1:45" ht="15.6">
      <c r="A29" s="1" t="s">
        <v>46</v>
      </c>
      <c r="B29" s="4">
        <v>2</v>
      </c>
      <c r="T29" s="27" t="s">
        <v>119</v>
      </c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</row>
    <row r="30" spans="1:45" ht="15.6">
      <c r="A30" s="1" t="s">
        <v>47</v>
      </c>
      <c r="B30" s="4">
        <v>2</v>
      </c>
      <c r="T30" s="27" t="s">
        <v>120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</row>
    <row r="31" spans="1:45" ht="15.6">
      <c r="T31" s="27" t="s">
        <v>121</v>
      </c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</row>
    <row r="32" spans="1:45" ht="15.6">
      <c r="A32" s="1" t="s">
        <v>48</v>
      </c>
      <c r="T32" s="27" t="s">
        <v>122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</row>
    <row r="33" spans="1:45" ht="15.6">
      <c r="A33" s="20" t="s">
        <v>49</v>
      </c>
      <c r="B33" s="4">
        <v>0</v>
      </c>
      <c r="T33" s="27" t="s">
        <v>123</v>
      </c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</row>
    <row r="34" spans="1:45" ht="15.6">
      <c r="A34" s="1" t="s">
        <v>50</v>
      </c>
      <c r="B34" s="4">
        <v>2</v>
      </c>
      <c r="T34" s="36" t="s">
        <v>124</v>
      </c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</row>
    <row r="35" spans="1:45" ht="15.6">
      <c r="A35" s="1" t="s">
        <v>51</v>
      </c>
      <c r="B35" s="4">
        <v>1.5</v>
      </c>
      <c r="T35" s="36" t="s">
        <v>125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</row>
    <row r="36" spans="1:45" ht="15.6">
      <c r="A36" s="1" t="s">
        <v>52</v>
      </c>
      <c r="B36" s="4">
        <v>1.5</v>
      </c>
      <c r="T36" s="36" t="s">
        <v>126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</row>
    <row r="37" spans="1:45" ht="15.6">
      <c r="A37" s="1" t="s">
        <v>53</v>
      </c>
      <c r="B37" s="4">
        <v>100</v>
      </c>
      <c r="T37" s="36" t="s">
        <v>127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</row>
    <row r="38" spans="1:45" ht="15.6">
      <c r="A38" s="1" t="s">
        <v>54</v>
      </c>
      <c r="B38" s="4">
        <v>1.4999999999999999E-2</v>
      </c>
      <c r="T38" s="27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</row>
    <row r="39" spans="1:45" ht="15.6">
      <c r="A39" s="1" t="s">
        <v>55</v>
      </c>
      <c r="B39" s="4">
        <v>2E-3</v>
      </c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</row>
    <row r="40" spans="1:45" ht="15.6">
      <c r="T40" s="25" t="s">
        <v>135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spans="1:45" ht="15.6">
      <c r="T41" s="25" t="s">
        <v>136</v>
      </c>
      <c r="U41" s="24"/>
      <c r="V41" s="24"/>
      <c r="W41" s="24"/>
      <c r="X41" s="26" t="s">
        <v>175</v>
      </c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spans="1:45" ht="27.6" customHeight="1">
      <c r="A42" s="42" t="s">
        <v>56</v>
      </c>
      <c r="B42" s="43"/>
      <c r="C42" s="43"/>
      <c r="T42" s="25" t="s">
        <v>137</v>
      </c>
      <c r="U42" s="24"/>
      <c r="V42" s="24"/>
      <c r="W42" s="24"/>
      <c r="X42" s="26" t="s">
        <v>176</v>
      </c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spans="1:45" ht="15.6">
      <c r="A43" s="1" t="s">
        <v>57</v>
      </c>
      <c r="B43" s="5">
        <f>IF(B22=0, B5/(PI()*B25^2/4), 0)</f>
        <v>3.9788735772973833</v>
      </c>
      <c r="T43" s="25" t="s">
        <v>138</v>
      </c>
      <c r="U43" s="24"/>
      <c r="V43" s="24"/>
      <c r="W43" s="24"/>
      <c r="X43" s="37" t="s">
        <v>177</v>
      </c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spans="1:45" ht="15.6">
      <c r="A44" s="1" t="s">
        <v>58</v>
      </c>
      <c r="B44" s="15">
        <f>IF(B22=0, (B43*B25)/B8, 0)</f>
        <v>3183098.8618379072</v>
      </c>
      <c r="T44" s="25" t="s">
        <v>139</v>
      </c>
      <c r="U44" s="24"/>
      <c r="V44" s="24"/>
      <c r="W44" s="24"/>
      <c r="X44" s="37" t="s">
        <v>178</v>
      </c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spans="1:45" ht="15.6">
      <c r="A45" s="1" t="s">
        <v>59</v>
      </c>
      <c r="B45" s="15">
        <f>IF(B22=0, IF(B44&gt;0, 0.25/(LOG10((B27/B25)/3.7+5.74/B44^0.9))^2, 0.02), 0)</f>
        <v>1.3041145087904995E-2</v>
      </c>
      <c r="T45" s="25" t="s">
        <v>140</v>
      </c>
      <c r="U45" s="24"/>
      <c r="V45" s="24"/>
      <c r="W45" s="24"/>
      <c r="X45" s="37" t="s">
        <v>189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spans="1:45" ht="15.6">
      <c r="A46" s="1" t="s">
        <v>60</v>
      </c>
      <c r="B46" s="15">
        <f>IF(B22=0, IF(B45&gt;0, B45*(B26/B25)*(B43^2)/(2*B7), 0), 0)</f>
        <v>6.5768361383771792</v>
      </c>
      <c r="T46" s="25" t="s">
        <v>141</v>
      </c>
      <c r="U46" s="24"/>
      <c r="V46" s="24"/>
      <c r="W46" s="24"/>
      <c r="X46" s="37" t="s">
        <v>190</v>
      </c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spans="1:45" ht="15.6">
      <c r="A47" s="1" t="s">
        <v>61</v>
      </c>
      <c r="B47" s="5">
        <f>IF(B22=0, B28*0.15*(B43^2)/(2*B7), 0)</f>
        <v>0.36310630605768979</v>
      </c>
      <c r="T47" s="25" t="s">
        <v>142</v>
      </c>
      <c r="U47" s="24"/>
      <c r="V47" s="24"/>
      <c r="W47" s="24"/>
      <c r="X47" s="37" t="s">
        <v>191</v>
      </c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</row>
    <row r="48" spans="1:45" ht="15.6">
      <c r="A48" s="1" t="s">
        <v>62</v>
      </c>
      <c r="B48" s="5">
        <f>IF(B22=0, B29*0.04*(B43^2)/(2*B7), 0)</f>
        <v>6.4552232188033742E-2</v>
      </c>
      <c r="T48" s="38"/>
      <c r="U48" s="24"/>
      <c r="V48" s="24"/>
      <c r="W48" s="24"/>
      <c r="X48" s="37" t="s">
        <v>192</v>
      </c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</row>
    <row r="49" spans="1:45" ht="15.6">
      <c r="A49" s="20" t="s">
        <v>63</v>
      </c>
      <c r="B49" s="5">
        <f>IF(B22=0, B30*0.5*(B43^2)/(2*B7), 0)</f>
        <v>0.80690290235042184</v>
      </c>
      <c r="T49" s="25" t="s">
        <v>143</v>
      </c>
      <c r="U49" s="24"/>
      <c r="V49" s="24"/>
      <c r="W49" s="24"/>
      <c r="X49" s="37" t="s">
        <v>193</v>
      </c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</row>
    <row r="50" spans="1:45" ht="21" customHeight="1">
      <c r="A50" s="8" t="s">
        <v>64</v>
      </c>
      <c r="B50" s="7">
        <f>IF(B22=0, B46+B47+B48+B49, 0)</f>
        <v>7.8113975789733248</v>
      </c>
      <c r="T50" s="25" t="s">
        <v>144</v>
      </c>
      <c r="U50" s="24"/>
      <c r="V50" s="24"/>
      <c r="W50" s="24"/>
      <c r="X50" s="37" t="s">
        <v>194</v>
      </c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</row>
    <row r="51" spans="1:45" ht="15.6">
      <c r="T51" s="25" t="s">
        <v>145</v>
      </c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</row>
    <row r="52" spans="1:45" ht="15.6">
      <c r="A52" s="42" t="s">
        <v>65</v>
      </c>
      <c r="B52" s="43"/>
      <c r="C52" s="43"/>
      <c r="T52" s="25" t="s">
        <v>146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</row>
    <row r="53" spans="1:45" ht="15.6">
      <c r="A53" s="1" t="s">
        <v>66</v>
      </c>
      <c r="B53" s="5">
        <f>IF(B22=1, IF(B33=0, B34*B35, B36*(B34+B36*B35)), 0)</f>
        <v>0</v>
      </c>
      <c r="T53" s="25" t="s">
        <v>147</v>
      </c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spans="1:45" ht="15.6">
      <c r="A54" s="1" t="s">
        <v>67</v>
      </c>
      <c r="B54" s="5">
        <f>IF(B22=1, IF(B33=0, B34+2*B345, B34+2*B35*SQRT(1+B36^2)), 0)</f>
        <v>0</v>
      </c>
      <c r="T54" s="25" t="s">
        <v>148</v>
      </c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spans="1:45" ht="15.6">
      <c r="A55" s="1" t="s">
        <v>68</v>
      </c>
      <c r="B55" s="5">
        <f>IFERROR(IF(B22=1,B53/B54,0),0.1)</f>
        <v>0</v>
      </c>
      <c r="T55" s="25" t="s">
        <v>149</v>
      </c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5" ht="15.6">
      <c r="A56" s="1" t="s">
        <v>69</v>
      </c>
      <c r="B56" s="5">
        <f>IFERROR(IF(B22=1,(1/B38)*B55^(2/3)*SQRT(B39),0),0)</f>
        <v>0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pans="1:45" ht="15.6">
      <c r="A57" s="1" t="s">
        <v>70</v>
      </c>
      <c r="B57" s="5">
        <f>IFERROR(IF(B22=1,B37,0)*(B56^2)/(2*B9*B55^(4/3)),0)</f>
        <v>0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pans="1:45" ht="15.6">
      <c r="A58" s="1" t="s">
        <v>71</v>
      </c>
      <c r="B58" s="5">
        <f>IF(B22=1, IF(B56&gt;0, SQRT(B5/(B34*B56)), 0), 0)</f>
        <v>0</v>
      </c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pans="1:45" ht="15.6">
      <c r="A59" s="1" t="s">
        <v>72</v>
      </c>
      <c r="B59" s="5">
        <f>IFERROR(IF(B22=1,MAX(0.3*B58,0.5),0),0)</f>
        <v>0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spans="1:45" ht="22.2" customHeight="1">
      <c r="A60" s="8" t="s">
        <v>73</v>
      </c>
      <c r="B60" s="7">
        <f>B57</f>
        <v>0</v>
      </c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</row>
    <row r="61" spans="1:45" ht="15.6"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</row>
    <row r="62" spans="1:45" ht="22.2" customHeight="1">
      <c r="A62" s="14" t="s">
        <v>74</v>
      </c>
      <c r="B62" s="7">
        <f>IF(B22=0,B50,B60)</f>
        <v>7.8113975789733248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</row>
    <row r="63" spans="1:45" ht="15.6"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spans="1:45" ht="15.6">
      <c r="A64" s="47" t="s">
        <v>75</v>
      </c>
      <c r="B64" s="43"/>
      <c r="C64" s="43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</row>
    <row r="65" spans="1:45" ht="15.6">
      <c r="A65" s="1" t="s">
        <v>76</v>
      </c>
      <c r="B65" s="4">
        <v>2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</row>
    <row r="66" spans="1:45" ht="15.6">
      <c r="A66" s="1" t="s">
        <v>77</v>
      </c>
      <c r="B66" s="4">
        <v>1.5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</row>
    <row r="68" spans="1:45">
      <c r="A68" s="1" t="s">
        <v>78</v>
      </c>
      <c r="B68" s="5">
        <f>SQRT(4*B5/(PI()*1.5^2))</f>
        <v>1.0638460810704873</v>
      </c>
    </row>
    <row r="69" spans="1:45">
      <c r="A69" s="1" t="s">
        <v>79</v>
      </c>
      <c r="B69" s="5">
        <f>SQRT(B9*1000000/B6)</f>
        <v>1483.2396974191327</v>
      </c>
    </row>
    <row r="70" spans="1:45">
      <c r="A70" s="1" t="s">
        <v>80</v>
      </c>
      <c r="B70" s="5">
        <f>IF(B69&gt;0, B6*B69*(B43*2/B65)/1000000, 0)</f>
        <v>5.9016232408595526</v>
      </c>
    </row>
    <row r="71" spans="1:45">
      <c r="A71" s="1" t="s">
        <v>81</v>
      </c>
      <c r="B71" s="5">
        <f>IF(B78&gt;0, B6*B7*B78/1000000, 0)</f>
        <v>0.41337018975027168</v>
      </c>
    </row>
    <row r="72" spans="1:45">
      <c r="A72" s="1" t="s">
        <v>82</v>
      </c>
      <c r="B72" s="5">
        <f>B71+B70</f>
        <v>6.3149934306098245</v>
      </c>
    </row>
    <row r="73" spans="1:45">
      <c r="A73" s="1" t="s">
        <v>83</v>
      </c>
      <c r="B73" s="5">
        <f>IF(B72&gt;0, (B72*B68*1000)/(2*250/B66), 0)</f>
        <v>20.154543039420403</v>
      </c>
    </row>
    <row r="74" spans="1:45">
      <c r="A74" s="9" t="s">
        <v>84</v>
      </c>
      <c r="B74" s="7">
        <f>B73+2</f>
        <v>22.154543039420403</v>
      </c>
    </row>
    <row r="76" spans="1:45">
      <c r="A76" s="44" t="s">
        <v>85</v>
      </c>
      <c r="B76" s="43"/>
      <c r="C76" s="43"/>
    </row>
    <row r="77" spans="1:45">
      <c r="A77" s="1" t="s">
        <v>86</v>
      </c>
      <c r="B77" s="10">
        <f>B19+B62</f>
        <v>7.8623659785655775</v>
      </c>
    </row>
    <row r="78" spans="1:45">
      <c r="A78" s="1" t="s">
        <v>87</v>
      </c>
      <c r="B78" s="11">
        <f>B4-B77</f>
        <v>42.137634021434422</v>
      </c>
    </row>
    <row r="79" spans="1:45">
      <c r="A79" s="1" t="s">
        <v>88</v>
      </c>
      <c r="B79" s="5">
        <f>IF(B4&gt;0, B78/B4*100, 0)</f>
        <v>84.275268042868845</v>
      </c>
    </row>
    <row r="81" spans="1:2">
      <c r="A81" s="12" t="s">
        <v>89</v>
      </c>
      <c r="B81" s="7">
        <f>IF(B78&gt;0, B6*B7*B5*B78/1000, 0)</f>
        <v>826.74037950054333</v>
      </c>
    </row>
    <row r="83" spans="1:2">
      <c r="A83" s="1" t="s">
        <v>90</v>
      </c>
      <c r="B83" s="5">
        <f>B81*0.75</f>
        <v>620.05528462540747</v>
      </c>
    </row>
    <row r="84" spans="1:2">
      <c r="A84" s="1" t="s">
        <v>91</v>
      </c>
      <c r="B84" s="5">
        <f>B81*0.8</f>
        <v>661.39230360043473</v>
      </c>
    </row>
    <row r="85" spans="1:2">
      <c r="A85" s="1" t="s">
        <v>92</v>
      </c>
      <c r="B85" s="5">
        <f>B81*0.85</f>
        <v>702.72932257546177</v>
      </c>
    </row>
    <row r="87" spans="1:2">
      <c r="A87" s="1" t="s">
        <v>93</v>
      </c>
      <c r="B87" s="16">
        <f>B83*8000/1000</f>
        <v>4960.4422770032597</v>
      </c>
    </row>
    <row r="88" spans="1:2">
      <c r="A88" s="1" t="s">
        <v>94</v>
      </c>
      <c r="B88" s="16">
        <f>B85*8000/1000</f>
        <v>5621.8345806036941</v>
      </c>
    </row>
  </sheetData>
  <mergeCells count="9">
    <mergeCell ref="A1:Q1"/>
    <mergeCell ref="T1:AD1"/>
    <mergeCell ref="A42:C42"/>
    <mergeCell ref="A76:C76"/>
    <mergeCell ref="A3:C3"/>
    <mergeCell ref="A21:C21"/>
    <mergeCell ref="A64:C64"/>
    <mergeCell ref="A12:C12"/>
    <mergeCell ref="A52:C52"/>
  </mergeCells>
  <pageMargins left="0.3" right="0.3" top="1" bottom="1" header="0.5" footer="0.5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Headrace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Mirembe Priscillah</cp:lastModifiedBy>
  <dcterms:created xsi:type="dcterms:W3CDTF">2026-03-28T22:04:48Z</dcterms:created>
  <dcterms:modified xsi:type="dcterms:W3CDTF">2026-03-30T05:26:30Z</dcterms:modified>
</cp:coreProperties>
</file>